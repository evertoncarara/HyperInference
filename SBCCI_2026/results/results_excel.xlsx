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555" windowWidth="22755" windowHeight="7425"/>
  </bookViews>
  <sheets>
    <sheet name="Planilha1" sheetId="1" r:id="rId1"/>
  </sheets>
  <calcPr calcId="0"/>
  <fileRecoveryPr repairLoad="1"/>
</workbook>
</file>

<file path=xl/sharedStrings.xml><?xml version="1.0" encoding="utf-8"?>
<sst xmlns="http://schemas.openxmlformats.org/spreadsheetml/2006/main" count="47" uniqueCount="23">
  <si>
    <t>MNIST</t>
  </si>
  <si>
    <t>D=8192</t>
  </si>
  <si>
    <t>EFFECTIVE_INDEXES=3200</t>
  </si>
  <si>
    <t>sythesis: AreaOptimized_medium</t>
  </si>
  <si>
    <t>implementation: Perfomance_extraTimingOpt</t>
  </si>
  <si>
    <t>PARALLEL</t>
  </si>
  <si>
    <t>clk (MHz)</t>
  </si>
  <si>
    <t>Time (us)</t>
  </si>
  <si>
    <t>LUTs</t>
  </si>
  <si>
    <t>Ffs</t>
  </si>
  <si>
    <t>Power (mW)</t>
  </si>
  <si>
    <t>BRAM</t>
  </si>
  <si>
    <t>ADDERS=2</t>
  </si>
  <si>
    <t>ADDERS=5</t>
  </si>
  <si>
    <t>vazão equivalente a TC'24 TCAD'25</t>
  </si>
  <si>
    <t>UCIHAR</t>
  </si>
  <si>
    <t>sythesis: AreaOptimized_high up</t>
  </si>
  <si>
    <t>ADDERS=3</t>
  </si>
  <si>
    <t>ISOLET</t>
  </si>
  <si>
    <t>EFECTIVE_INDEXES=3700</t>
  </si>
  <si>
    <t>ADDERS=7</t>
  </si>
  <si>
    <t>ADDERS=13</t>
  </si>
  <si>
    <t>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</si>
</sst>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rgb="FF5983B0"/>
      <name val="Liberation Sans"/>
    </font>
    <font>
      <sz val="10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</cellXfs>
  <cellStyles count="19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/>
            </a:pPr>
            <a:r>
              <a:rPr lang="pt-BR" sz="2800"/>
              <a:t>MNIST</a:t>
            </a:r>
          </a:p>
        </c:rich>
      </c:tx>
      <c:layout>
        <c:manualLayout>
          <c:xMode val="edge"/>
          <c:yMode val="edge"/>
          <c:x val="0.44408740742452585"/>
          <c:y val="0.17593032479725257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Planilha1!$D$8</c:f>
              <c:strCache>
                <c:ptCount val="1"/>
                <c:pt idx="0">
                  <c:v>clk (MHz)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Planilha1!$D$9:$D$17</c:f>
              <c:numCache>
                <c:formatCode>General</c:formatCode>
                <c:ptCount val="9"/>
                <c:pt idx="0">
                  <c:v>200</c:v>
                </c:pt>
                <c:pt idx="1">
                  <c:v>181.81</c:v>
                </c:pt>
                <c:pt idx="2">
                  <c:v>181.81</c:v>
                </c:pt>
                <c:pt idx="3">
                  <c:v>181.81</c:v>
                </c:pt>
                <c:pt idx="4">
                  <c:v>166.66</c:v>
                </c:pt>
                <c:pt idx="5">
                  <c:v>153.84</c:v>
                </c:pt>
                <c:pt idx="6">
                  <c:v>153.84</c:v>
                </c:pt>
                <c:pt idx="7">
                  <c:v>142.85</c:v>
                </c:pt>
                <c:pt idx="8">
                  <c:v>125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Planilha1!$E$8</c:f>
              <c:strCache>
                <c:ptCount val="1"/>
                <c:pt idx="0">
                  <c:v>Time (us)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Planilha1!$E$9:$E$17</c:f>
              <c:numCache>
                <c:formatCode>General</c:formatCode>
                <c:ptCount val="9"/>
                <c:pt idx="0">
                  <c:v>12604</c:v>
                </c:pt>
                <c:pt idx="1">
                  <c:v>6943</c:v>
                </c:pt>
                <c:pt idx="2">
                  <c:v>3480</c:v>
                </c:pt>
                <c:pt idx="3">
                  <c:v>1749</c:v>
                </c:pt>
                <c:pt idx="4">
                  <c:v>964</c:v>
                </c:pt>
                <c:pt idx="5">
                  <c:v>534</c:v>
                </c:pt>
                <c:pt idx="6">
                  <c:v>279</c:v>
                </c:pt>
                <c:pt idx="7">
                  <c:v>165</c:v>
                </c:pt>
                <c:pt idx="8">
                  <c:v>113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Planilha1!$F$8</c:f>
              <c:strCache>
                <c:ptCount val="1"/>
                <c:pt idx="0">
                  <c:v>LUTs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Planilha1!$F$9:$F$17</c:f>
              <c:numCache>
                <c:formatCode>General</c:formatCode>
                <c:ptCount val="9"/>
                <c:pt idx="0">
                  <c:v>357</c:v>
                </c:pt>
                <c:pt idx="1">
                  <c:v>504</c:v>
                </c:pt>
                <c:pt idx="2">
                  <c:v>774</c:v>
                </c:pt>
                <c:pt idx="3">
                  <c:v>1323</c:v>
                </c:pt>
                <c:pt idx="4">
                  <c:v>2318</c:v>
                </c:pt>
                <c:pt idx="5">
                  <c:v>4344</c:v>
                </c:pt>
                <c:pt idx="6">
                  <c:v>8672</c:v>
                </c:pt>
                <c:pt idx="7">
                  <c:v>16957</c:v>
                </c:pt>
                <c:pt idx="8">
                  <c:v>33335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Planilha1!$G$8</c:f>
              <c:strCache>
                <c:ptCount val="1"/>
                <c:pt idx="0">
                  <c:v>FFs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Planilha1!$G$9:$G$17</c:f>
              <c:numCache>
                <c:formatCode>General</c:formatCode>
                <c:ptCount val="9"/>
                <c:pt idx="0">
                  <c:v>312</c:v>
                </c:pt>
                <c:pt idx="1">
                  <c:v>338</c:v>
                </c:pt>
                <c:pt idx="2">
                  <c:v>386</c:v>
                </c:pt>
                <c:pt idx="3">
                  <c:v>482</c:v>
                </c:pt>
                <c:pt idx="4">
                  <c:v>674</c:v>
                </c:pt>
                <c:pt idx="5">
                  <c:v>1058</c:v>
                </c:pt>
                <c:pt idx="6">
                  <c:v>1824</c:v>
                </c:pt>
                <c:pt idx="7">
                  <c:v>3360</c:v>
                </c:pt>
                <c:pt idx="8">
                  <c:v>6440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Planilha1!$H$8</c:f>
              <c:strCache>
                <c:ptCount val="1"/>
                <c:pt idx="0">
                  <c:v>Power (mW)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Planilha1!$H$9:$H$17</c:f>
              <c:numCache>
                <c:formatCode>General</c:formatCode>
                <c:ptCount val="9"/>
                <c:pt idx="0">
                  <c:v>130</c:v>
                </c:pt>
                <c:pt idx="1">
                  <c:v>127</c:v>
                </c:pt>
                <c:pt idx="2">
                  <c:v>132</c:v>
                </c:pt>
                <c:pt idx="3">
                  <c:v>129</c:v>
                </c:pt>
                <c:pt idx="4">
                  <c:v>170</c:v>
                </c:pt>
                <c:pt idx="5">
                  <c:v>206</c:v>
                </c:pt>
                <c:pt idx="6">
                  <c:v>293</c:v>
                </c:pt>
                <c:pt idx="7">
                  <c:v>444</c:v>
                </c:pt>
                <c:pt idx="8">
                  <c:v>566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38176"/>
        <c:axId val="129741952"/>
      </c:scatterChart>
      <c:valAx>
        <c:axId val="129938176"/>
        <c:scaling>
          <c:logBase val="2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800"/>
                </a:pPr>
                <a:r>
                  <a:rPr lang="pt-BR" sz="2800"/>
                  <a:t>Parallelism level (p)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pt-BR"/>
          </a:p>
        </c:txPr>
        <c:crossAx val="129741952"/>
        <c:crosses val="autoZero"/>
        <c:crossBetween val="midCat"/>
        <c:majorUnit val="2"/>
      </c:valAx>
      <c:valAx>
        <c:axId val="129741952"/>
        <c:scaling>
          <c:logBase val="2"/>
          <c:orientation val="minMax"/>
          <c:min val="6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pt-BR"/>
          </a:p>
        </c:txPr>
        <c:crossAx val="129938176"/>
        <c:crosses val="autoZero"/>
        <c:crossBetween val="midCat"/>
      </c:valAx>
    </c:plotArea>
    <c:legend>
      <c:legendPos val="t"/>
      <c:layout/>
      <c:overlay val="0"/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/>
            </a:pPr>
            <a:r>
              <a:rPr lang="pt-BR" sz="2800"/>
              <a:t>UCIHAR</a:t>
            </a:r>
          </a:p>
        </c:rich>
      </c:tx>
      <c:layout>
        <c:manualLayout>
          <c:xMode val="edge"/>
          <c:yMode val="edge"/>
          <c:x val="0.40060461416070009"/>
          <c:y val="0.16666666666666666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Planilha1!$D$24</c:f>
              <c:strCache>
                <c:ptCount val="1"/>
                <c:pt idx="0">
                  <c:v>clk (MHz)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Planilha1!$D$25:$D$33</c:f>
              <c:numCache>
                <c:formatCode>General</c:formatCode>
                <c:ptCount val="9"/>
                <c:pt idx="0">
                  <c:v>200</c:v>
                </c:pt>
                <c:pt idx="1">
                  <c:v>200</c:v>
                </c:pt>
                <c:pt idx="2">
                  <c:v>181.81</c:v>
                </c:pt>
                <c:pt idx="3">
                  <c:v>166.66</c:v>
                </c:pt>
                <c:pt idx="4">
                  <c:v>166.66</c:v>
                </c:pt>
                <c:pt idx="5">
                  <c:v>166.66</c:v>
                </c:pt>
                <c:pt idx="6">
                  <c:v>142.85</c:v>
                </c:pt>
                <c:pt idx="7">
                  <c:v>142.85</c:v>
                </c:pt>
                <c:pt idx="8">
                  <c:v>125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Planilha1!$E$24</c:f>
              <c:strCache>
                <c:ptCount val="1"/>
                <c:pt idx="0">
                  <c:v>Time (us)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Planilha1!$E$25:$E$33</c:f>
              <c:numCache>
                <c:formatCode>General</c:formatCode>
                <c:ptCount val="9"/>
                <c:pt idx="0">
                  <c:v>9040</c:v>
                </c:pt>
                <c:pt idx="1">
                  <c:v>4528</c:v>
                </c:pt>
                <c:pt idx="2">
                  <c:v>2499</c:v>
                </c:pt>
                <c:pt idx="3">
                  <c:v>1373</c:v>
                </c:pt>
                <c:pt idx="4">
                  <c:v>696</c:v>
                </c:pt>
                <c:pt idx="5">
                  <c:v>359</c:v>
                </c:pt>
                <c:pt idx="6">
                  <c:v>223</c:v>
                </c:pt>
                <c:pt idx="7">
                  <c:v>134</c:v>
                </c:pt>
                <c:pt idx="8">
                  <c:v>91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Planilha1!$F$24</c:f>
              <c:strCache>
                <c:ptCount val="1"/>
                <c:pt idx="0">
                  <c:v>LUTs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Planilha1!$F$25:$F$33</c:f>
              <c:numCache>
                <c:formatCode>General</c:formatCode>
                <c:ptCount val="9"/>
                <c:pt idx="0">
                  <c:v>320</c:v>
                </c:pt>
                <c:pt idx="1">
                  <c:v>467</c:v>
                </c:pt>
                <c:pt idx="2">
                  <c:v>723</c:v>
                </c:pt>
                <c:pt idx="3">
                  <c:v>1218</c:v>
                </c:pt>
                <c:pt idx="4">
                  <c:v>2144</c:v>
                </c:pt>
                <c:pt idx="5">
                  <c:v>4133</c:v>
                </c:pt>
                <c:pt idx="6">
                  <c:v>7642</c:v>
                </c:pt>
                <c:pt idx="7">
                  <c:v>16035</c:v>
                </c:pt>
                <c:pt idx="8">
                  <c:v>30599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Planilha1!$G$24</c:f>
              <c:strCache>
                <c:ptCount val="1"/>
                <c:pt idx="0">
                  <c:v>FFs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Planilha1!$G$25:$G$33</c:f>
              <c:numCache>
                <c:formatCode>General</c:formatCode>
                <c:ptCount val="9"/>
                <c:pt idx="0">
                  <c:v>264</c:v>
                </c:pt>
                <c:pt idx="1">
                  <c:v>290</c:v>
                </c:pt>
                <c:pt idx="2">
                  <c:v>338</c:v>
                </c:pt>
                <c:pt idx="3">
                  <c:v>434</c:v>
                </c:pt>
                <c:pt idx="4">
                  <c:v>626</c:v>
                </c:pt>
                <c:pt idx="5">
                  <c:v>1010</c:v>
                </c:pt>
                <c:pt idx="6">
                  <c:v>1778</c:v>
                </c:pt>
                <c:pt idx="7">
                  <c:v>3312</c:v>
                </c:pt>
                <c:pt idx="8">
                  <c:v>6155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Planilha1!$H$24</c:f>
              <c:strCache>
                <c:ptCount val="1"/>
                <c:pt idx="0">
                  <c:v>Power (mW)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Planilha1!$H$25:$H$33</c:f>
              <c:numCache>
                <c:formatCode>General</c:formatCode>
                <c:ptCount val="9"/>
                <c:pt idx="0">
                  <c:v>130</c:v>
                </c:pt>
                <c:pt idx="1">
                  <c:v>132</c:v>
                </c:pt>
                <c:pt idx="2">
                  <c:v>136</c:v>
                </c:pt>
                <c:pt idx="3">
                  <c:v>146</c:v>
                </c:pt>
                <c:pt idx="4">
                  <c:v>165</c:v>
                </c:pt>
                <c:pt idx="5">
                  <c:v>189</c:v>
                </c:pt>
                <c:pt idx="6">
                  <c:v>242</c:v>
                </c:pt>
                <c:pt idx="7">
                  <c:v>462</c:v>
                </c:pt>
                <c:pt idx="8">
                  <c:v>725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36704"/>
        <c:axId val="130134784"/>
      </c:scatterChart>
      <c:valAx>
        <c:axId val="130136704"/>
        <c:scaling>
          <c:logBase val="2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800"/>
                </a:pPr>
                <a:r>
                  <a:rPr lang="pt-BR" sz="2800" b="1" i="0" u="none" strike="noStrike" baseline="0">
                    <a:effectLst/>
                  </a:rPr>
                  <a:t>Parallelism level (p)</a:t>
                </a:r>
                <a:endParaRPr lang="pt-BR" sz="28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pt-BR"/>
          </a:p>
        </c:txPr>
        <c:crossAx val="130134784"/>
        <c:crosses val="autoZero"/>
        <c:crossBetween val="midCat"/>
        <c:majorUnit val="2"/>
      </c:valAx>
      <c:valAx>
        <c:axId val="130134784"/>
        <c:scaling>
          <c:logBase val="2"/>
          <c:orientation val="minMax"/>
          <c:max val="65536"/>
          <c:min val="6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pt-BR"/>
          </a:p>
        </c:txPr>
        <c:crossAx val="130136704"/>
        <c:crosses val="autoZero"/>
        <c:crossBetween val="midCat"/>
      </c:valAx>
    </c:plotArea>
    <c:legend>
      <c:legendPos val="t"/>
      <c:layout/>
      <c:overlay val="0"/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/>
            </a:pPr>
            <a:r>
              <a:rPr lang="pt-BR" sz="2800"/>
              <a:t>ISOLET</a:t>
            </a:r>
          </a:p>
        </c:rich>
      </c:tx>
      <c:layout>
        <c:manualLayout>
          <c:xMode val="edge"/>
          <c:yMode val="edge"/>
          <c:x val="0.40646759250559072"/>
          <c:y val="0.17129629629629631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Planilha1!$D$40</c:f>
              <c:strCache>
                <c:ptCount val="1"/>
                <c:pt idx="0">
                  <c:v>clk (MHz)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Planilha1!$D$41:$D$49</c:f>
              <c:numCache>
                <c:formatCode>General</c:formatCode>
                <c:ptCount val="9"/>
                <c:pt idx="0">
                  <c:v>181.81</c:v>
                </c:pt>
                <c:pt idx="1">
                  <c:v>181.81</c:v>
                </c:pt>
                <c:pt idx="2">
                  <c:v>166.66</c:v>
                </c:pt>
                <c:pt idx="3">
                  <c:v>153.84</c:v>
                </c:pt>
                <c:pt idx="4">
                  <c:v>153.84</c:v>
                </c:pt>
                <c:pt idx="5">
                  <c:v>142.85</c:v>
                </c:pt>
                <c:pt idx="6">
                  <c:v>142.85</c:v>
                </c:pt>
                <c:pt idx="7">
                  <c:v>125</c:v>
                </c:pt>
                <c:pt idx="8">
                  <c:v>111.11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Planilha1!$E$40</c:f>
              <c:strCache>
                <c:ptCount val="1"/>
                <c:pt idx="0">
                  <c:v>Time (us)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Planilha1!$E$41:$E$49</c:f>
              <c:numCache>
                <c:formatCode>General</c:formatCode>
                <c:ptCount val="9"/>
                <c:pt idx="0">
                  <c:v>12637</c:v>
                </c:pt>
                <c:pt idx="1">
                  <c:v>6329</c:v>
                </c:pt>
                <c:pt idx="2">
                  <c:v>3464</c:v>
                </c:pt>
                <c:pt idx="3">
                  <c:v>1891</c:v>
                </c:pt>
                <c:pt idx="4">
                  <c:v>962</c:v>
                </c:pt>
                <c:pt idx="5">
                  <c:v>532</c:v>
                </c:pt>
                <c:pt idx="6">
                  <c:v>282</c:v>
                </c:pt>
                <c:pt idx="7">
                  <c:v>178</c:v>
                </c:pt>
                <c:pt idx="8">
                  <c:v>124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Planilha1!$F$40</c:f>
              <c:strCache>
                <c:ptCount val="1"/>
                <c:pt idx="0">
                  <c:v>LUTs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Planilha1!$F$41:$F$49</c:f>
              <c:numCache>
                <c:formatCode>General</c:formatCode>
                <c:ptCount val="9"/>
                <c:pt idx="0">
                  <c:v>443</c:v>
                </c:pt>
                <c:pt idx="1">
                  <c:v>589</c:v>
                </c:pt>
                <c:pt idx="2">
                  <c:v>842</c:v>
                </c:pt>
                <c:pt idx="3">
                  <c:v>1336</c:v>
                </c:pt>
                <c:pt idx="4">
                  <c:v>2356</c:v>
                </c:pt>
                <c:pt idx="5">
                  <c:v>4880</c:v>
                </c:pt>
                <c:pt idx="6">
                  <c:v>9272</c:v>
                </c:pt>
                <c:pt idx="7">
                  <c:v>18164</c:v>
                </c:pt>
                <c:pt idx="8">
                  <c:v>35681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Planilha1!$G$40</c:f>
              <c:strCache>
                <c:ptCount val="1"/>
                <c:pt idx="0">
                  <c:v>Ffs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Planilha1!$G$41:$G$49</c:f>
              <c:numCache>
                <c:formatCode>General</c:formatCode>
                <c:ptCount val="9"/>
                <c:pt idx="0">
                  <c:v>506</c:v>
                </c:pt>
                <c:pt idx="1">
                  <c:v>530</c:v>
                </c:pt>
                <c:pt idx="2">
                  <c:v>578</c:v>
                </c:pt>
                <c:pt idx="3">
                  <c:v>672</c:v>
                </c:pt>
                <c:pt idx="4">
                  <c:v>864</c:v>
                </c:pt>
                <c:pt idx="5">
                  <c:v>1248</c:v>
                </c:pt>
                <c:pt idx="6">
                  <c:v>2020</c:v>
                </c:pt>
                <c:pt idx="7">
                  <c:v>3560</c:v>
                </c:pt>
                <c:pt idx="8">
                  <c:v>6649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Planilha1!$H$40</c:f>
              <c:strCache>
                <c:ptCount val="1"/>
                <c:pt idx="0">
                  <c:v>Power (mW)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Planilha1!$H$41:$H$49</c:f>
              <c:numCache>
                <c:formatCode>General</c:formatCode>
                <c:ptCount val="9"/>
                <c:pt idx="0">
                  <c:v>131</c:v>
                </c:pt>
                <c:pt idx="1">
                  <c:v>135</c:v>
                </c:pt>
                <c:pt idx="2">
                  <c:v>140</c:v>
                </c:pt>
                <c:pt idx="3">
                  <c:v>154</c:v>
                </c:pt>
                <c:pt idx="4">
                  <c:v>169</c:v>
                </c:pt>
                <c:pt idx="5">
                  <c:v>199</c:v>
                </c:pt>
                <c:pt idx="6">
                  <c:v>272</c:v>
                </c:pt>
                <c:pt idx="7">
                  <c:v>457</c:v>
                </c:pt>
                <c:pt idx="8">
                  <c:v>781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89024"/>
        <c:axId val="108778240"/>
      </c:scatterChart>
      <c:valAx>
        <c:axId val="115489024"/>
        <c:scaling>
          <c:logBase val="2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800"/>
                </a:pPr>
                <a:r>
                  <a:rPr lang="pt-BR" sz="2800"/>
                  <a:t>Parallelism level (p)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pt-BR"/>
          </a:p>
        </c:txPr>
        <c:crossAx val="108778240"/>
        <c:crosses val="autoZero"/>
        <c:crossBetween val="midCat"/>
        <c:majorUnit val="2"/>
      </c:valAx>
      <c:valAx>
        <c:axId val="108778240"/>
        <c:scaling>
          <c:logBase val="2"/>
          <c:orientation val="minMax"/>
          <c:min val="6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pt-BR"/>
          </a:p>
        </c:txPr>
        <c:crossAx val="115489024"/>
        <c:crosses val="autoZero"/>
        <c:crossBetween val="midCat"/>
      </c:valAx>
    </c:plotArea>
    <c:legend>
      <c:legendPos val="t"/>
      <c:layout/>
      <c:overlay val="0"/>
      <c:txPr>
        <a:bodyPr/>
        <a:lstStyle/>
        <a:p>
          <a:pPr>
            <a:defRPr sz="2400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2</xdr:row>
      <xdr:rowOff>17319</xdr:rowOff>
    </xdr:from>
    <xdr:to>
      <xdr:col>25</xdr:col>
      <xdr:colOff>19050</xdr:colOff>
      <xdr:row>50</xdr:row>
      <xdr:rowOff>9525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28574</xdr:colOff>
      <xdr:row>51</xdr:row>
      <xdr:rowOff>104775</xdr:rowOff>
    </xdr:from>
    <xdr:to>
      <xdr:col>25</xdr:col>
      <xdr:colOff>19049</xdr:colOff>
      <xdr:row>99</xdr:row>
      <xdr:rowOff>76199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100</xdr:row>
      <xdr:rowOff>136524</xdr:rowOff>
    </xdr:from>
    <xdr:to>
      <xdr:col>25</xdr:col>
      <xdr:colOff>19050</xdr:colOff>
      <xdr:row>148</xdr:row>
      <xdr:rowOff>152400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49"/>
  <sheetViews>
    <sheetView tabSelected="1" topLeftCell="A72" zoomScale="50" zoomScaleNormal="50" workbookViewId="0">
      <selection activeCell="V60" sqref="V60"/>
    </sheetView>
  </sheetViews>
  <sheetFormatPr defaultRowHeight="12.75"/>
  <cols>
    <col min="1" max="9" width="12.140625" customWidth="1"/>
  </cols>
  <sheetData>
    <row r="4" spans="2:9">
      <c r="C4" t="s">
        <v>0</v>
      </c>
    </row>
    <row r="5" spans="2:9">
      <c r="C5" t="s">
        <v>1</v>
      </c>
      <c r="D5" t="s">
        <v>2</v>
      </c>
    </row>
    <row r="6" spans="2:9">
      <c r="C6" t="s">
        <v>3</v>
      </c>
    </row>
    <row r="7" spans="2:9">
      <c r="C7" t="s">
        <v>4</v>
      </c>
      <c r="H7">
        <v>1000</v>
      </c>
    </row>
    <row r="8" spans="2:9">
      <c r="B8" s="1"/>
      <c r="C8" s="1" t="s">
        <v>5</v>
      </c>
      <c r="D8" s="1" t="s">
        <v>6</v>
      </c>
      <c r="E8" s="1" t="s">
        <v>7</v>
      </c>
      <c r="F8" s="1" t="s">
        <v>8</v>
      </c>
      <c r="G8" s="1" t="s">
        <v>22</v>
      </c>
      <c r="H8" s="1" t="s">
        <v>10</v>
      </c>
      <c r="I8" s="1" t="s">
        <v>11</v>
      </c>
    </row>
    <row r="9" spans="2:9">
      <c r="C9">
        <v>1</v>
      </c>
      <c r="D9">
        <v>200</v>
      </c>
      <c r="E9">
        <v>12604</v>
      </c>
      <c r="F9">
        <v>357</v>
      </c>
      <c r="G9">
        <v>312</v>
      </c>
      <c r="H9">
        <v>130</v>
      </c>
      <c r="I9">
        <v>3</v>
      </c>
    </row>
    <row r="10" spans="2:9">
      <c r="C10">
        <v>2</v>
      </c>
      <c r="D10">
        <v>181.81</v>
      </c>
      <c r="E10">
        <v>6943</v>
      </c>
      <c r="F10">
        <v>504</v>
      </c>
      <c r="G10">
        <v>338</v>
      </c>
      <c r="H10">
        <v>127</v>
      </c>
    </row>
    <row r="11" spans="2:9">
      <c r="C11">
        <v>4</v>
      </c>
      <c r="D11">
        <v>181.81</v>
      </c>
      <c r="E11">
        <v>3480</v>
      </c>
      <c r="F11">
        <v>774</v>
      </c>
      <c r="G11">
        <v>386</v>
      </c>
      <c r="H11">
        <v>132</v>
      </c>
    </row>
    <row r="12" spans="2:9">
      <c r="C12">
        <v>8</v>
      </c>
      <c r="D12">
        <v>181.81</v>
      </c>
      <c r="E12">
        <v>1749</v>
      </c>
      <c r="F12">
        <v>1323</v>
      </c>
      <c r="G12">
        <v>482</v>
      </c>
      <c r="H12">
        <v>129</v>
      </c>
    </row>
    <row r="13" spans="2:9">
      <c r="C13">
        <v>16</v>
      </c>
      <c r="D13">
        <v>166.66</v>
      </c>
      <c r="E13">
        <v>964</v>
      </c>
      <c r="F13">
        <v>2318</v>
      </c>
      <c r="G13">
        <v>674</v>
      </c>
      <c r="H13">
        <v>170</v>
      </c>
    </row>
    <row r="14" spans="2:9">
      <c r="B14" t="s">
        <v>3</v>
      </c>
      <c r="C14">
        <v>32</v>
      </c>
      <c r="D14">
        <v>153.84</v>
      </c>
      <c r="E14">
        <v>534</v>
      </c>
      <c r="F14">
        <v>4344</v>
      </c>
      <c r="G14">
        <v>1058</v>
      </c>
      <c r="H14">
        <v>206</v>
      </c>
    </row>
    <row r="15" spans="2:9">
      <c r="B15" t="s">
        <v>12</v>
      </c>
      <c r="C15">
        <v>64</v>
      </c>
      <c r="D15">
        <v>153.84</v>
      </c>
      <c r="E15">
        <v>279</v>
      </c>
      <c r="F15">
        <v>8672</v>
      </c>
      <c r="G15">
        <v>1824</v>
      </c>
      <c r="H15">
        <v>293</v>
      </c>
    </row>
    <row r="16" spans="2:9">
      <c r="B16" t="s">
        <v>12</v>
      </c>
      <c r="C16">
        <v>128</v>
      </c>
      <c r="D16">
        <v>142.85</v>
      </c>
      <c r="E16">
        <v>165</v>
      </c>
      <c r="F16">
        <v>16957</v>
      </c>
      <c r="G16">
        <v>3360</v>
      </c>
      <c r="H16">
        <v>444</v>
      </c>
    </row>
    <row r="17" spans="1:9">
      <c r="B17" t="s">
        <v>13</v>
      </c>
      <c r="C17">
        <v>256</v>
      </c>
      <c r="D17">
        <v>125</v>
      </c>
      <c r="E17">
        <v>113</v>
      </c>
      <c r="F17">
        <v>33335</v>
      </c>
      <c r="G17">
        <v>6440</v>
      </c>
      <c r="H17">
        <v>566</v>
      </c>
    </row>
    <row r="18" spans="1:9">
      <c r="A18" t="s">
        <v>14</v>
      </c>
      <c r="C18" s="2">
        <v>20</v>
      </c>
      <c r="D18" s="2">
        <v>166.66</v>
      </c>
      <c r="E18" s="2">
        <v>776</v>
      </c>
      <c r="F18" s="2">
        <v>2786</v>
      </c>
      <c r="G18" s="2">
        <v>770</v>
      </c>
      <c r="H18" s="2">
        <v>175</v>
      </c>
    </row>
    <row r="20" spans="1:9">
      <c r="C20" t="s">
        <v>15</v>
      </c>
    </row>
    <row r="21" spans="1:9">
      <c r="C21" t="s">
        <v>1</v>
      </c>
      <c r="D21" t="s">
        <v>2</v>
      </c>
    </row>
    <row r="22" spans="1:9">
      <c r="C22" t="s">
        <v>16</v>
      </c>
    </row>
    <row r="23" spans="1:9">
      <c r="C23" t="s">
        <v>4</v>
      </c>
      <c r="H23">
        <v>1000</v>
      </c>
    </row>
    <row r="24" spans="1:9">
      <c r="B24" s="1"/>
      <c r="C24" s="1" t="s">
        <v>5</v>
      </c>
      <c r="D24" s="1" t="s">
        <v>6</v>
      </c>
      <c r="E24" s="1" t="s">
        <v>7</v>
      </c>
      <c r="F24" s="1" t="s">
        <v>8</v>
      </c>
      <c r="G24" s="1" t="s">
        <v>22</v>
      </c>
      <c r="H24" s="1" t="s">
        <v>10</v>
      </c>
      <c r="I24" s="1" t="s">
        <v>11</v>
      </c>
    </row>
    <row r="25" spans="1:9">
      <c r="C25">
        <v>1</v>
      </c>
      <c r="D25">
        <v>200</v>
      </c>
      <c r="E25">
        <v>9040</v>
      </c>
      <c r="F25">
        <v>320</v>
      </c>
      <c r="G25">
        <v>264</v>
      </c>
      <c r="H25">
        <v>130</v>
      </c>
      <c r="I25">
        <v>2.5</v>
      </c>
    </row>
    <row r="26" spans="1:9">
      <c r="C26">
        <v>2</v>
      </c>
      <c r="D26">
        <v>200</v>
      </c>
      <c r="E26">
        <v>4528</v>
      </c>
      <c r="F26">
        <v>467</v>
      </c>
      <c r="G26">
        <v>290</v>
      </c>
      <c r="H26">
        <v>132</v>
      </c>
    </row>
    <row r="27" spans="1:9">
      <c r="C27">
        <v>4</v>
      </c>
      <c r="D27">
        <v>181.81</v>
      </c>
      <c r="E27">
        <v>2499</v>
      </c>
      <c r="F27">
        <v>723</v>
      </c>
      <c r="G27">
        <v>338</v>
      </c>
      <c r="H27">
        <v>136</v>
      </c>
    </row>
    <row r="28" spans="1:9">
      <c r="C28">
        <v>8</v>
      </c>
      <c r="D28">
        <v>166.66</v>
      </c>
      <c r="E28">
        <v>1373</v>
      </c>
      <c r="F28">
        <v>1218</v>
      </c>
      <c r="G28">
        <v>434</v>
      </c>
      <c r="H28">
        <v>146</v>
      </c>
    </row>
    <row r="29" spans="1:9">
      <c r="C29">
        <v>16</v>
      </c>
      <c r="D29">
        <v>166.66</v>
      </c>
      <c r="E29">
        <v>696</v>
      </c>
      <c r="F29">
        <v>2144</v>
      </c>
      <c r="G29">
        <v>626</v>
      </c>
      <c r="H29">
        <v>165</v>
      </c>
    </row>
    <row r="30" spans="1:9">
      <c r="C30">
        <v>32</v>
      </c>
      <c r="D30">
        <v>166.66</v>
      </c>
      <c r="E30">
        <v>359</v>
      </c>
      <c r="F30">
        <v>4133</v>
      </c>
      <c r="G30">
        <v>1010</v>
      </c>
      <c r="H30">
        <v>189</v>
      </c>
    </row>
    <row r="31" spans="1:9">
      <c r="C31">
        <v>64</v>
      </c>
      <c r="D31">
        <v>142.85</v>
      </c>
      <c r="E31">
        <v>223</v>
      </c>
      <c r="F31">
        <v>7642</v>
      </c>
      <c r="G31">
        <v>1778</v>
      </c>
      <c r="H31">
        <v>242</v>
      </c>
    </row>
    <row r="32" spans="1:9">
      <c r="B32" t="s">
        <v>12</v>
      </c>
      <c r="C32">
        <v>128</v>
      </c>
      <c r="D32">
        <v>142.85</v>
      </c>
      <c r="E32">
        <v>134</v>
      </c>
      <c r="F32">
        <v>16035</v>
      </c>
      <c r="G32">
        <v>3312</v>
      </c>
      <c r="H32">
        <v>462</v>
      </c>
    </row>
    <row r="33" spans="2:9">
      <c r="B33" t="s">
        <v>17</v>
      </c>
      <c r="C33">
        <v>256</v>
      </c>
      <c r="D33">
        <v>125</v>
      </c>
      <c r="E33">
        <v>91</v>
      </c>
      <c r="F33">
        <v>30599</v>
      </c>
      <c r="G33">
        <v>6155</v>
      </c>
      <c r="H33">
        <v>725</v>
      </c>
    </row>
    <row r="36" spans="2:9">
      <c r="C36" t="s">
        <v>18</v>
      </c>
    </row>
    <row r="37" spans="2:9">
      <c r="C37" t="s">
        <v>1</v>
      </c>
      <c r="D37" t="s">
        <v>19</v>
      </c>
    </row>
    <row r="38" spans="2:9">
      <c r="C38" t="s">
        <v>16</v>
      </c>
    </row>
    <row r="39" spans="2:9">
      <c r="C39" t="s">
        <v>4</v>
      </c>
      <c r="H39">
        <v>1000</v>
      </c>
    </row>
    <row r="40" spans="2:9">
      <c r="B40" s="1"/>
      <c r="C40" s="1" t="s">
        <v>5</v>
      </c>
      <c r="D40" s="1" t="s">
        <v>6</v>
      </c>
      <c r="E40" s="1" t="s">
        <v>7</v>
      </c>
      <c r="F40" s="1" t="s">
        <v>8</v>
      </c>
      <c r="G40" s="1" t="s">
        <v>9</v>
      </c>
      <c r="H40" s="1" t="s">
        <v>10</v>
      </c>
      <c r="I40" s="1" t="s">
        <v>11</v>
      </c>
    </row>
    <row r="41" spans="2:9">
      <c r="C41">
        <v>1</v>
      </c>
      <c r="D41">
        <v>181.81</v>
      </c>
      <c r="E41">
        <v>12637</v>
      </c>
      <c r="F41">
        <v>443</v>
      </c>
      <c r="G41">
        <v>506</v>
      </c>
      <c r="H41">
        <v>131</v>
      </c>
      <c r="I41">
        <v>4.5</v>
      </c>
    </row>
    <row r="42" spans="2:9">
      <c r="C42">
        <v>2</v>
      </c>
      <c r="D42">
        <v>181.81</v>
      </c>
      <c r="E42">
        <v>6329</v>
      </c>
      <c r="F42">
        <v>589</v>
      </c>
      <c r="G42">
        <v>530</v>
      </c>
      <c r="H42">
        <v>135</v>
      </c>
    </row>
    <row r="43" spans="2:9">
      <c r="C43">
        <v>4</v>
      </c>
      <c r="D43">
        <v>166.66</v>
      </c>
      <c r="E43">
        <v>3464</v>
      </c>
      <c r="F43">
        <v>842</v>
      </c>
      <c r="G43">
        <v>578</v>
      </c>
      <c r="H43">
        <v>140</v>
      </c>
    </row>
    <row r="44" spans="2:9">
      <c r="C44">
        <v>8</v>
      </c>
      <c r="D44">
        <v>153.84</v>
      </c>
      <c r="E44">
        <v>1891</v>
      </c>
      <c r="F44">
        <v>1336</v>
      </c>
      <c r="G44">
        <v>672</v>
      </c>
      <c r="H44">
        <v>154</v>
      </c>
    </row>
    <row r="45" spans="2:9">
      <c r="C45">
        <v>16</v>
      </c>
      <c r="D45">
        <v>153.84</v>
      </c>
      <c r="E45">
        <v>962</v>
      </c>
      <c r="F45">
        <v>2356</v>
      </c>
      <c r="G45">
        <v>864</v>
      </c>
      <c r="H45">
        <v>169</v>
      </c>
    </row>
    <row r="46" spans="2:9">
      <c r="B46" t="s">
        <v>12</v>
      </c>
      <c r="C46">
        <v>32</v>
      </c>
      <c r="D46">
        <v>142.85</v>
      </c>
      <c r="E46">
        <v>532</v>
      </c>
      <c r="F46">
        <v>4880</v>
      </c>
      <c r="G46">
        <v>1248</v>
      </c>
      <c r="H46">
        <v>199</v>
      </c>
    </row>
    <row r="47" spans="2:9">
      <c r="B47" t="s">
        <v>17</v>
      </c>
      <c r="C47">
        <v>64</v>
      </c>
      <c r="D47">
        <v>142.85</v>
      </c>
      <c r="E47">
        <v>282</v>
      </c>
      <c r="F47">
        <v>9272</v>
      </c>
      <c r="G47">
        <v>2020</v>
      </c>
      <c r="H47">
        <v>272</v>
      </c>
    </row>
    <row r="48" spans="2:9">
      <c r="B48" t="s">
        <v>20</v>
      </c>
      <c r="C48">
        <v>128</v>
      </c>
      <c r="D48" s="3">
        <v>125</v>
      </c>
      <c r="E48">
        <v>178</v>
      </c>
      <c r="F48">
        <v>18164</v>
      </c>
      <c r="G48">
        <v>3560</v>
      </c>
      <c r="H48">
        <v>457</v>
      </c>
    </row>
    <row r="49" spans="2:8">
      <c r="B49" t="s">
        <v>21</v>
      </c>
      <c r="C49">
        <v>256</v>
      </c>
      <c r="D49">
        <v>111.11</v>
      </c>
      <c r="E49">
        <v>124</v>
      </c>
      <c r="F49">
        <v>35681</v>
      </c>
      <c r="G49">
        <v>6649</v>
      </c>
      <c r="H49">
        <v>781</v>
      </c>
    </row>
  </sheetData>
  <pageMargins left="0" right="0" top="0.39370078740157483" bottom="0.39370078740157483" header="0" footer="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1215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 Child</cp:lastModifiedBy>
  <cp:revision>29</cp:revision>
  <dcterms:created xsi:type="dcterms:W3CDTF">2025-12-10T08:41:57Z</dcterms:created>
  <dcterms:modified xsi:type="dcterms:W3CDTF">2026-02-05T13:26:24Z</dcterms:modified>
</cp:coreProperties>
</file>